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risti\Documents\Data_Analytics_Capstone\Project_2\"/>
    </mc:Choice>
  </mc:AlternateContent>
  <bookViews>
    <workbookView xWindow="0" yWindow="0" windowWidth="6645" windowHeight="4500"/>
  </bookViews>
  <sheets>
    <sheet name="Sheet1" sheetId="1" r:id="rId1"/>
    <sheet name="Sheet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1" l="1"/>
  <c r="B12" i="1"/>
  <c r="C13" i="1"/>
  <c r="D13" i="1"/>
  <c r="E13" i="1"/>
  <c r="B13" i="1"/>
  <c r="C11" i="1"/>
  <c r="B11" i="1"/>
  <c r="C10" i="1"/>
  <c r="B10" i="1"/>
  <c r="C9" i="1"/>
  <c r="B9" i="1"/>
  <c r="C8" i="1"/>
  <c r="B8" i="1"/>
  <c r="C7" i="1"/>
  <c r="C13" i="2"/>
  <c r="C11" i="2"/>
  <c r="C10" i="2"/>
  <c r="C9" i="2"/>
  <c r="C12" i="2"/>
  <c r="C8" i="2"/>
  <c r="C6" i="2"/>
  <c r="D6" i="2"/>
  <c r="E6" i="2"/>
  <c r="B6" i="2"/>
  <c r="F3" i="2"/>
  <c r="F4" i="2"/>
  <c r="F5" i="2"/>
  <c r="F2" i="2"/>
  <c r="B7" i="1"/>
  <c r="C6" i="1"/>
  <c r="B6" i="1"/>
  <c r="C5" i="1"/>
  <c r="B5" i="1"/>
  <c r="C4" i="1"/>
  <c r="C3" i="1"/>
  <c r="B3" i="1"/>
  <c r="B4" i="1"/>
</calcChain>
</file>

<file path=xl/sharedStrings.xml><?xml version="1.0" encoding="utf-8"?>
<sst xmlns="http://schemas.openxmlformats.org/spreadsheetml/2006/main" count="26" uniqueCount="22">
  <si>
    <t>H1B_1</t>
  </si>
  <si>
    <t>Data Set</t>
  </si>
  <si>
    <t>Percent Correctly Classified</t>
  </si>
  <si>
    <t>RF</t>
  </si>
  <si>
    <t>RF - wage converted to salary</t>
  </si>
  <si>
    <t>J48</t>
  </si>
  <si>
    <t>J48 - wage converted to salary</t>
  </si>
  <si>
    <t>H1B_2</t>
  </si>
  <si>
    <t>H1B_3</t>
  </si>
  <si>
    <t>H1B_4</t>
  </si>
  <si>
    <t>H1B_5</t>
  </si>
  <si>
    <t>H1B_6</t>
  </si>
  <si>
    <t>H1B_7</t>
  </si>
  <si>
    <t>H1B_8</t>
  </si>
  <si>
    <t>H1B_9</t>
  </si>
  <si>
    <t>H1B_10</t>
  </si>
  <si>
    <t>CERTIFIED</t>
  </si>
  <si>
    <t>CERTIFIEDWITHDRAWN</t>
  </si>
  <si>
    <t>DENIED</t>
  </si>
  <si>
    <t>WITHDRAWN</t>
  </si>
  <si>
    <t>class.error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</si>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</sst>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Lucida Consol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0" fontId="0" fillId="0" borderId="0" xfId="1" applyNumberFormat="1" applyFont="1"/>
    <xf numFmtId="10" fontId="0" fillId="0" borderId="0" xfId="0" applyNumberFormat="1"/>
    <xf numFmtId="1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workbookViewId="0">
      <selection activeCell="C14" sqref="C14"/>
    </sheetView>
  </sheetViews>
  <sheetFormatPr defaultRowHeight="15" x14ac:dyDescent="0.25"/>
  <cols>
    <col min="2" max="2" width="9.85546875" bestFit="1" customWidth="1"/>
    <col min="3" max="3" width="27.28515625" bestFit="1" customWidth="1"/>
    <col min="5" max="5" width="27.85546875" bestFit="1" customWidth="1"/>
  </cols>
  <sheetData>
    <row r="1" spans="1:5" x14ac:dyDescent="0.25">
      <c r="B1" s="2" t="s">
        <v>2</v>
      </c>
      <c r="C1" s="2"/>
      <c r="D1" s="2"/>
      <c r="E1" s="2"/>
    </row>
    <row r="2" spans="1:5" x14ac:dyDescent="0.25">
      <c r="A2" t="s">
        <v>1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25">
      <c r="A3" t="s">
        <v>0</v>
      </c>
      <c r="B3" s="3">
        <f>1-0.2262</f>
        <v>0.77380000000000004</v>
      </c>
      <c r="C3" s="3">
        <f>1-0.2255</f>
        <v>0.77449999999999997</v>
      </c>
      <c r="D3" s="3">
        <v>0.86336900000000005</v>
      </c>
      <c r="E3" s="3">
        <v>0.86125399999999996</v>
      </c>
    </row>
    <row r="4" spans="1:5" x14ac:dyDescent="0.25">
      <c r="A4" t="s">
        <v>7</v>
      </c>
      <c r="B4" s="3">
        <f>1-0.2299</f>
        <v>0.77010000000000001</v>
      </c>
      <c r="C4" s="3">
        <f>1-0.2266</f>
        <v>0.77339999999999998</v>
      </c>
      <c r="D4" s="3">
        <v>0.85167999999999999</v>
      </c>
      <c r="E4" s="3">
        <v>0.85397800000000001</v>
      </c>
    </row>
    <row r="5" spans="1:5" x14ac:dyDescent="0.25">
      <c r="A5" t="s">
        <v>8</v>
      </c>
      <c r="B5" s="3">
        <f>1-0.2326</f>
        <v>0.76739999999999997</v>
      </c>
      <c r="C5" s="3">
        <f>1-0.2277</f>
        <v>0.77229999999999999</v>
      </c>
      <c r="D5" s="3">
        <v>0.85154099999999999</v>
      </c>
      <c r="E5" s="3">
        <v>0.85236599999999996</v>
      </c>
    </row>
    <row r="6" spans="1:5" x14ac:dyDescent="0.25">
      <c r="A6" t="s">
        <v>9</v>
      </c>
      <c r="B6" s="3">
        <f>1-0.228</f>
        <v>0.77200000000000002</v>
      </c>
      <c r="C6" s="3">
        <f>1-0.2279</f>
        <v>0.77210000000000001</v>
      </c>
      <c r="D6" s="3">
        <v>0.85602199999999995</v>
      </c>
      <c r="E6" s="5">
        <v>0.85731199999999996</v>
      </c>
    </row>
    <row r="7" spans="1:5" x14ac:dyDescent="0.25">
      <c r="A7" t="s">
        <v>10</v>
      </c>
      <c r="B7" s="3">
        <f>1-0.2309</f>
        <v>0.76910000000000001</v>
      </c>
      <c r="C7" s="3">
        <f>1-0.2265</f>
        <v>0.77349999999999997</v>
      </c>
      <c r="D7" s="5">
        <v>0.86100399999999999</v>
      </c>
      <c r="E7" s="5">
        <v>0.85856600000000005</v>
      </c>
    </row>
    <row r="8" spans="1:5" x14ac:dyDescent="0.25">
      <c r="A8" t="s">
        <v>11</v>
      </c>
      <c r="B8" s="3">
        <f>1-0.2265</f>
        <v>0.77349999999999997</v>
      </c>
      <c r="C8" s="3">
        <f>1-0.2285</f>
        <v>0.77149999999999996</v>
      </c>
      <c r="D8" s="5">
        <v>0.85362000000000005</v>
      </c>
      <c r="E8" s="5">
        <v>0.85426500000000005</v>
      </c>
    </row>
    <row r="9" spans="1:5" x14ac:dyDescent="0.25">
      <c r="A9" t="s">
        <v>12</v>
      </c>
      <c r="B9" s="3">
        <f>1-0.2285</f>
        <v>0.77149999999999996</v>
      </c>
      <c r="C9" s="3">
        <f>1-0.2279</f>
        <v>0.77210000000000001</v>
      </c>
      <c r="D9" s="5">
        <v>0.85021000000000002</v>
      </c>
      <c r="E9" s="5">
        <v>0.85038899999999995</v>
      </c>
    </row>
    <row r="10" spans="1:5" x14ac:dyDescent="0.25">
      <c r="A10" t="s">
        <v>13</v>
      </c>
      <c r="B10" s="3">
        <f>1-0.2314</f>
        <v>0.76859999999999995</v>
      </c>
      <c r="C10" s="3">
        <f>1-0.2307</f>
        <v>0.76929999999999998</v>
      </c>
      <c r="D10" s="5">
        <v>0.85401400000000005</v>
      </c>
      <c r="E10" s="5">
        <v>0.85670299999999999</v>
      </c>
    </row>
    <row r="11" spans="1:5" x14ac:dyDescent="0.25">
      <c r="A11" t="s">
        <v>14</v>
      </c>
      <c r="B11" s="3">
        <f>1-0.2314</f>
        <v>0.76859999999999995</v>
      </c>
      <c r="C11" s="3">
        <f>1-0.2291</f>
        <v>0.77090000000000003</v>
      </c>
      <c r="D11" s="5">
        <v>0.84989199999999998</v>
      </c>
      <c r="E11" s="5">
        <v>0.84992800000000002</v>
      </c>
    </row>
    <row r="12" spans="1:5" x14ac:dyDescent="0.25">
      <c r="A12" t="s">
        <v>15</v>
      </c>
      <c r="B12" s="3">
        <f>1-0.2282</f>
        <v>0.77180000000000004</v>
      </c>
      <c r="C12" s="3">
        <f>1-0.2269</f>
        <v>0.77310000000000001</v>
      </c>
      <c r="D12" s="5">
        <v>0.85791600000000001</v>
      </c>
      <c r="E12" s="5">
        <v>0.85433199999999998</v>
      </c>
    </row>
    <row r="13" spans="1:5" x14ac:dyDescent="0.25">
      <c r="A13" t="s">
        <v>21</v>
      </c>
      <c r="B13" s="4">
        <f>AVERAGE(B3:B12)</f>
        <v>0.77063999999999999</v>
      </c>
      <c r="C13" s="4">
        <f t="shared" ref="C13:E13" si="0">AVERAGE(C3:C12)</f>
        <v>0.77227000000000001</v>
      </c>
      <c r="D13" s="4">
        <f t="shared" si="0"/>
        <v>0.85492679999999999</v>
      </c>
      <c r="E13" s="4">
        <f t="shared" si="0"/>
        <v>0.85490929999999987</v>
      </c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s="6"/>
      <c r="B1" t="s">
        <v>16</v>
      </c>
      <c r="C1" t="s">
        <v>17</v>
      </c>
      <c r="D1" t="s">
        <v>18</v>
      </c>
      <c r="E1" t="s">
        <v>19</v>
      </c>
      <c r="G1" t="s">
        <v>20</v>
      </c>
    </row>
    <row r="2" spans="1:7" x14ac:dyDescent="0.25">
      <c r="A2" s="6" t="s">
        <v>16</v>
      </c>
      <c r="B2">
        <v>5897</v>
      </c>
      <c r="C2">
        <v>161</v>
      </c>
      <c r="D2">
        <v>698</v>
      </c>
      <c r="E2">
        <v>227</v>
      </c>
      <c r="F2">
        <f>SUM(B2:E2)</f>
        <v>6983</v>
      </c>
      <c r="G2">
        <v>0.15552055000000001</v>
      </c>
    </row>
    <row r="3" spans="1:7" x14ac:dyDescent="0.25">
      <c r="A3" s="6" t="s">
        <v>17</v>
      </c>
      <c r="B3">
        <v>318</v>
      </c>
      <c r="C3">
        <v>6500</v>
      </c>
      <c r="D3">
        <v>84</v>
      </c>
      <c r="E3">
        <v>81</v>
      </c>
      <c r="F3">
        <f t="shared" ref="F3:F5" si="0">SUM(B3:E3)</f>
        <v>6983</v>
      </c>
      <c r="G3">
        <v>6.9167980000000004E-2</v>
      </c>
    </row>
    <row r="4" spans="1:7" x14ac:dyDescent="0.25">
      <c r="A4" s="6" t="s">
        <v>18</v>
      </c>
      <c r="B4">
        <v>1265</v>
      </c>
      <c r="C4">
        <v>89</v>
      </c>
      <c r="D4">
        <v>4420</v>
      </c>
      <c r="E4">
        <v>1177</v>
      </c>
      <c r="F4">
        <f t="shared" si="0"/>
        <v>6951</v>
      </c>
      <c r="G4">
        <v>0.36412027000000002</v>
      </c>
    </row>
    <row r="5" spans="1:7" x14ac:dyDescent="0.25">
      <c r="A5" s="7" t="s">
        <v>19</v>
      </c>
      <c r="B5">
        <v>638</v>
      </c>
      <c r="C5">
        <v>464</v>
      </c>
      <c r="D5">
        <v>1117</v>
      </c>
      <c r="E5">
        <v>4764</v>
      </c>
      <c r="F5">
        <f t="shared" si="0"/>
        <v>6983</v>
      </c>
      <c r="G5">
        <v>0.31777172999999997</v>
      </c>
    </row>
    <row r="6" spans="1:7" x14ac:dyDescent="0.25">
      <c r="B6">
        <f>SUM(B2:B5)</f>
        <v>8118</v>
      </c>
      <c r="C6">
        <f t="shared" ref="C6:E6" si="1">SUM(C2:C5)</f>
        <v>7214</v>
      </c>
      <c r="D6">
        <f t="shared" si="1"/>
        <v>6319</v>
      </c>
      <c r="E6">
        <f t="shared" si="1"/>
        <v>6249</v>
      </c>
    </row>
    <row r="8" spans="1:7" x14ac:dyDescent="0.25">
      <c r="C8">
        <f>5897/6983</f>
        <v>0.84447945009308323</v>
      </c>
    </row>
    <row r="9" spans="1:7" x14ac:dyDescent="0.25">
      <c r="C9">
        <f>6500/6983</f>
        <v>0.93083202062150938</v>
      </c>
    </row>
    <row r="10" spans="1:7" x14ac:dyDescent="0.25">
      <c r="C10">
        <f>4420/6951</f>
        <v>0.63587972953531868</v>
      </c>
    </row>
    <row r="11" spans="1:7" x14ac:dyDescent="0.25">
      <c r="C11">
        <f>4764/6983</f>
        <v>0.68222826865244168</v>
      </c>
    </row>
    <row r="12" spans="1:7" x14ac:dyDescent="0.25">
      <c r="C12">
        <f>AVERAGE(C8:C11)</f>
        <v>0.77335486722558833</v>
      </c>
    </row>
    <row r="13" spans="1:7" x14ac:dyDescent="0.25">
      <c r="C13">
        <f>1-C12</f>
        <v>0.22664513277441167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 Swainston</dc:creator>
  <cp:lastModifiedBy>Kristi Swainston</cp:lastModifiedBy>
  <dcterms:created xsi:type="dcterms:W3CDTF">2018-04-05T04:11:38Z</dcterms:created>
  <dcterms:modified xsi:type="dcterms:W3CDTF">2018-04-05T05:09:09Z</dcterms:modified>
</cp:coreProperties>
</file>