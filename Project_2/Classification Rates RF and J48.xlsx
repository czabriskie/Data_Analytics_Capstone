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ti\Documents\Data_Analytics_Capstone\Project_2\"/>
    </mc:Choice>
  </mc:AlternateContent>
  <bookViews>
    <workbookView xWindow="0" yWindow="0" windowWidth="6645" windowHeight="450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C12" i="1" l="1"/>
  <c r="B12" i="1"/>
  <c r="D13" i="1"/>
  <c r="E13" i="1"/>
  <c r="C11" i="1"/>
  <c r="B11" i="1"/>
  <c r="C10" i="1"/>
  <c r="B10" i="1"/>
  <c r="C9" i="1"/>
  <c r="B9" i="1"/>
  <c r="C8" i="1"/>
  <c r="B8" i="1"/>
  <c r="C7" i="1"/>
  <c r="C13" i="2"/>
  <c r="C11" i="2"/>
  <c r="C10" i="2"/>
  <c r="C9" i="2"/>
  <c r="C12" i="2"/>
  <c r="C8" i="2"/>
  <c r="C6" i="2"/>
  <c r="D6" i="2"/>
  <c r="E6" i="2"/>
  <c r="B6" i="2"/>
  <c r="F3" i="2"/>
  <c r="F4" i="2"/>
  <c r="F5" i="2"/>
  <c r="F2" i="2"/>
  <c r="B7" i="1"/>
  <c r="C6" i="1"/>
  <c r="B6" i="1"/>
  <c r="C5" i="1"/>
  <c r="B5" i="1"/>
  <c r="C4" i="1"/>
  <c r="C3" i="1"/>
  <c r="C13" i="1" s="1"/>
  <c r="B3" i="1"/>
  <c r="B4" i="1"/>
  <c r="B13" i="1" l="1"/>
</calcChain>
</file>

<file path=xl/sharedStrings.xml><?xml version="1.0" encoding="utf-8"?>
<sst xmlns="http://schemas.openxmlformats.org/spreadsheetml/2006/main" count="46" uniqueCount="41">
  <si>
    <t>H1B_1</t>
  </si>
  <si>
    <t>Data Set</t>
  </si>
  <si>
    <t>Percent Correctly Classified</t>
  </si>
  <si>
    <t>RF</t>
  </si>
  <si>
    <t>RF - wage converted to salary</t>
  </si>
  <si>
    <t>J48</t>
  </si>
  <si>
    <t>J48 - wage converted to salary</t>
  </si>
  <si>
    <t>H1B_2</t>
  </si>
  <si>
    <t>H1B_3</t>
  </si>
  <si>
    <t>H1B_4</t>
  </si>
  <si>
    <t>H1B_5</t>
  </si>
  <si>
    <t>H1B_6</t>
  </si>
  <si>
    <t>H1B_7</t>
  </si>
  <si>
    <t>H1B_8</t>
  </si>
  <si>
    <t>H1B_9</t>
  </si>
  <si>
    <t>H1B_10</t>
  </si>
  <si>
    <t>CERTIFIED</t>
  </si>
  <si>
    <t>CERTIFIEDWITHDRAWN</t>
  </si>
  <si>
    <t>DENIED</t>
  </si>
  <si>
    <t>WITHDRAWN</t>
  </si>
  <si>
    <t>class.error</t>
  </si>
  <si>
    <t>Average</t>
  </si>
  <si>
    <t>GBM - No Wage Conversion</t>
  </si>
  <si>
    <t>Trials</t>
  </si>
  <si>
    <t>C1</t>
  </si>
  <si>
    <t>C2</t>
  </si>
  <si>
    <t>C3</t>
  </si>
  <si>
    <t>C4</t>
  </si>
  <si>
    <t>Variance</t>
  </si>
  <si>
    <t>File 1</t>
  </si>
  <si>
    <t>File 2</t>
  </si>
  <si>
    <t>File 3</t>
  </si>
  <si>
    <t>File 4</t>
  </si>
  <si>
    <t>File 5</t>
  </si>
  <si>
    <t>File 6</t>
  </si>
  <si>
    <t>File 7</t>
  </si>
  <si>
    <t>File 8</t>
  </si>
  <si>
    <t>File 9</t>
  </si>
  <si>
    <t>File 10</t>
  </si>
  <si>
    <t>Std Dev.</t>
  </si>
  <si>
    <t>University of Texas Arlington Results for J48: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</si>
</sst>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10" fontId="0" fillId="0" borderId="1" xfId="1" applyNumberFormat="1" applyFont="1" applyBorder="1"/>
    <xf numFmtId="10" fontId="4" fillId="0" borderId="1" xfId="1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/>
    </xf>
    <xf numFmtId="0" fontId="0" fillId="0" borderId="3" xfId="0" applyBorder="1"/>
    <xf numFmtId="10" fontId="0" fillId="0" borderId="3" xfId="0" applyNumberFormat="1" applyBorder="1"/>
    <xf numFmtId="0" fontId="0" fillId="0" borderId="2" xfId="0" applyBorder="1"/>
    <xf numFmtId="10" fontId="0" fillId="0" borderId="2" xfId="1" applyNumberFormat="1" applyFont="1" applyBorder="1"/>
    <xf numFmtId="10" fontId="2" fillId="0" borderId="2" xfId="0" applyNumberFormat="1" applyFont="1" applyBorder="1" applyAlignment="1">
      <alignment vertical="center"/>
    </xf>
    <xf numFmtId="10" fontId="4" fillId="0" borderId="2" xfId="1" applyNumberFormat="1" applyFont="1" applyBorder="1" applyAlignment="1">
      <alignment vertical="center" wrapText="1"/>
    </xf>
    <xf numFmtId="10" fontId="0" fillId="0" borderId="5" xfId="1" applyNumberFormat="1" applyFont="1" applyBorder="1"/>
    <xf numFmtId="10" fontId="0" fillId="0" borderId="6" xfId="1" applyNumberFormat="1" applyFont="1" applyBorder="1"/>
    <xf numFmtId="10" fontId="0" fillId="0" borderId="7" xfId="0" applyNumberFormat="1" applyBorder="1"/>
    <xf numFmtId="0" fontId="3" fillId="0" borderId="4" xfId="0" applyFont="1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10" fontId="0" fillId="0" borderId="7" xfId="1" applyNumberFormat="1" applyFont="1" applyBorder="1"/>
    <xf numFmtId="10" fontId="0" fillId="0" borderId="3" xfId="1" applyNumberFormat="1" applyFont="1" applyBorder="1"/>
    <xf numFmtId="10" fontId="4" fillId="0" borderId="3" xfId="1" applyNumberFormat="1" applyFont="1" applyBorder="1" applyAlignment="1">
      <alignment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3" fillId="0" borderId="12" xfId="0" applyFont="1" applyBorder="1"/>
    <xf numFmtId="0" fontId="3" fillId="0" borderId="13" xfId="0" applyFont="1" applyBorder="1"/>
    <xf numFmtId="0" fontId="3" fillId="0" borderId="11" xfId="0" applyFont="1" applyBorder="1"/>
    <xf numFmtId="0" fontId="0" fillId="0" borderId="6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2" workbookViewId="0">
      <selection activeCell="A24" sqref="A24"/>
    </sheetView>
  </sheetViews>
  <sheetFormatPr defaultRowHeight="15" x14ac:dyDescent="0.25"/>
  <cols>
    <col min="2" max="2" width="9.85546875" bestFit="1" customWidth="1"/>
    <col min="3" max="3" width="27.28515625" bestFit="1" customWidth="1"/>
    <col min="5" max="5" width="27.85546875" bestFit="1" customWidth="1"/>
    <col min="6" max="6" width="25.7109375" bestFit="1" customWidth="1"/>
  </cols>
  <sheetData>
    <row r="1" spans="1:6" x14ac:dyDescent="0.25">
      <c r="A1" s="19"/>
      <c r="B1" s="5" t="s">
        <v>2</v>
      </c>
      <c r="C1" s="5"/>
      <c r="D1" s="5"/>
      <c r="E1" s="5"/>
      <c r="F1" s="5"/>
    </row>
    <row r="2" spans="1:6" ht="15.75" thickBot="1" x14ac:dyDescent="0.3">
      <c r="A2" s="18" t="s">
        <v>1</v>
      </c>
      <c r="B2" s="25" t="s">
        <v>3</v>
      </c>
      <c r="C2" s="26" t="s">
        <v>4</v>
      </c>
      <c r="D2" s="26" t="s">
        <v>5</v>
      </c>
      <c r="E2" s="26" t="s">
        <v>6</v>
      </c>
      <c r="F2" s="26" t="s">
        <v>22</v>
      </c>
    </row>
    <row r="3" spans="1:6" x14ac:dyDescent="0.25">
      <c r="A3" s="19" t="s">
        <v>0</v>
      </c>
      <c r="B3" s="22">
        <f>1-0.2262</f>
        <v>0.77380000000000004</v>
      </c>
      <c r="C3" s="23">
        <f>1-0.2255</f>
        <v>0.77449999999999997</v>
      </c>
      <c r="D3" s="23">
        <v>0.86336900000000005</v>
      </c>
      <c r="E3" s="23">
        <v>0.86125399999999996</v>
      </c>
      <c r="F3" s="24">
        <v>0.73202780000000001</v>
      </c>
    </row>
    <row r="4" spans="1:6" x14ac:dyDescent="0.25">
      <c r="A4" s="19" t="s">
        <v>7</v>
      </c>
      <c r="B4" s="15">
        <f>1-0.2299</f>
        <v>0.77010000000000001</v>
      </c>
      <c r="C4" s="6">
        <f>1-0.2266</f>
        <v>0.77339999999999998</v>
      </c>
      <c r="D4" s="6">
        <v>0.85167999999999999</v>
      </c>
      <c r="E4" s="6">
        <v>0.85397800000000001</v>
      </c>
      <c r="F4" s="7">
        <v>0.72816119999999995</v>
      </c>
    </row>
    <row r="5" spans="1:6" x14ac:dyDescent="0.25">
      <c r="A5" s="19" t="s">
        <v>8</v>
      </c>
      <c r="B5" s="15">
        <f>1-0.2326</f>
        <v>0.76739999999999997</v>
      </c>
      <c r="C5" s="6">
        <f>1-0.2277</f>
        <v>0.77229999999999999</v>
      </c>
      <c r="D5" s="6">
        <v>0.85154099999999999</v>
      </c>
      <c r="E5" s="6">
        <v>0.85236599999999996</v>
      </c>
      <c r="F5" s="7">
        <v>0.72744520000000001</v>
      </c>
    </row>
    <row r="6" spans="1:6" x14ac:dyDescent="0.25">
      <c r="A6" s="19" t="s">
        <v>9</v>
      </c>
      <c r="B6" s="15">
        <f>1-0.228</f>
        <v>0.77200000000000002</v>
      </c>
      <c r="C6" s="6">
        <f>1-0.2279</f>
        <v>0.77210000000000001</v>
      </c>
      <c r="D6" s="6">
        <v>0.85602199999999995</v>
      </c>
      <c r="E6" s="8">
        <v>0.85731199999999996</v>
      </c>
      <c r="F6" s="7">
        <v>0.72973650000000001</v>
      </c>
    </row>
    <row r="7" spans="1:6" x14ac:dyDescent="0.25">
      <c r="A7" s="19" t="s">
        <v>10</v>
      </c>
      <c r="B7" s="15">
        <f>1-0.2309</f>
        <v>0.76910000000000001</v>
      </c>
      <c r="C7" s="6">
        <f>1-0.2265</f>
        <v>0.77349999999999997</v>
      </c>
      <c r="D7" s="8">
        <v>0.86100399999999999</v>
      </c>
      <c r="E7" s="8">
        <v>0.85856600000000005</v>
      </c>
      <c r="F7" s="7">
        <v>0.72866249999999999</v>
      </c>
    </row>
    <row r="8" spans="1:6" x14ac:dyDescent="0.25">
      <c r="A8" s="19" t="s">
        <v>11</v>
      </c>
      <c r="B8" s="15">
        <f>1-0.2265</f>
        <v>0.77349999999999997</v>
      </c>
      <c r="C8" s="6">
        <f>1-0.2285</f>
        <v>0.77149999999999996</v>
      </c>
      <c r="D8" s="8">
        <v>0.85362000000000005</v>
      </c>
      <c r="E8" s="8">
        <v>0.85426500000000005</v>
      </c>
      <c r="F8" s="7">
        <v>0.72801800000000005</v>
      </c>
    </row>
    <row r="9" spans="1:6" x14ac:dyDescent="0.25">
      <c r="A9" s="19" t="s">
        <v>12</v>
      </c>
      <c r="B9" s="15">
        <f>1-0.2285</f>
        <v>0.77149999999999996</v>
      </c>
      <c r="C9" s="6">
        <f>1-0.2279</f>
        <v>0.77210000000000001</v>
      </c>
      <c r="D9" s="8">
        <v>0.85021000000000002</v>
      </c>
      <c r="E9" s="8">
        <v>0.85038899999999995</v>
      </c>
      <c r="F9" s="7">
        <v>0.72962910000000003</v>
      </c>
    </row>
    <row r="10" spans="1:6" x14ac:dyDescent="0.25">
      <c r="A10" s="19" t="s">
        <v>13</v>
      </c>
      <c r="B10" s="15">
        <f>1-0.2314</f>
        <v>0.76859999999999995</v>
      </c>
      <c r="C10" s="6">
        <f>1-0.2307</f>
        <v>0.76929999999999998</v>
      </c>
      <c r="D10" s="8">
        <v>0.85401400000000005</v>
      </c>
      <c r="E10" s="8">
        <v>0.85670299999999999</v>
      </c>
      <c r="F10" s="7">
        <v>0.73055990000000004</v>
      </c>
    </row>
    <row r="11" spans="1:6" x14ac:dyDescent="0.25">
      <c r="A11" s="19" t="s">
        <v>14</v>
      </c>
      <c r="B11" s="15">
        <f>1-0.2314</f>
        <v>0.76859999999999995</v>
      </c>
      <c r="C11" s="6">
        <f>1-0.2291</f>
        <v>0.77090000000000003</v>
      </c>
      <c r="D11" s="8">
        <v>0.84989199999999998</v>
      </c>
      <c r="E11" s="8">
        <v>0.84992800000000002</v>
      </c>
      <c r="F11" s="7">
        <v>0.72812540000000003</v>
      </c>
    </row>
    <row r="12" spans="1:6" ht="15.75" thickBot="1" x14ac:dyDescent="0.3">
      <c r="A12" s="20" t="s">
        <v>15</v>
      </c>
      <c r="B12" s="16">
        <f>1-0.2282</f>
        <v>0.77180000000000004</v>
      </c>
      <c r="C12" s="12">
        <f>1-0.2269</f>
        <v>0.77310000000000001</v>
      </c>
      <c r="D12" s="13">
        <v>0.85791600000000001</v>
      </c>
      <c r="E12" s="13">
        <v>0.85433199999999998</v>
      </c>
      <c r="F12" s="14">
        <v>0.7284119</v>
      </c>
    </row>
    <row r="13" spans="1:6" ht="15.75" thickTop="1" x14ac:dyDescent="0.25">
      <c r="A13" s="21" t="s">
        <v>21</v>
      </c>
      <c r="B13" s="17">
        <f>AVERAGE(B3:B12)</f>
        <v>0.77063999999999999</v>
      </c>
      <c r="C13" s="10">
        <f t="shared" ref="C13:E13" si="0">AVERAGE(C3:C12)</f>
        <v>0.77227000000000001</v>
      </c>
      <c r="D13" s="10">
        <f t="shared" si="0"/>
        <v>0.85492679999999999</v>
      </c>
      <c r="E13" s="10">
        <f t="shared" si="0"/>
        <v>0.85490929999999987</v>
      </c>
      <c r="F13" s="10">
        <f>AVERAGE(F3:F12)</f>
        <v>0.72907775000000008</v>
      </c>
    </row>
    <row r="18" spans="1:5" x14ac:dyDescent="0.25">
      <c r="A18" s="3" t="s">
        <v>40</v>
      </c>
    </row>
    <row r="19" spans="1:5" ht="15.75" thickBot="1" x14ac:dyDescent="0.3">
      <c r="A19" s="29" t="s">
        <v>23</v>
      </c>
      <c r="B19" s="30" t="s">
        <v>24</v>
      </c>
      <c r="C19" s="31" t="s">
        <v>25</v>
      </c>
      <c r="D19" s="31" t="s">
        <v>26</v>
      </c>
      <c r="E19" s="31" t="s">
        <v>27</v>
      </c>
    </row>
    <row r="20" spans="1:5" x14ac:dyDescent="0.25">
      <c r="A20" s="21" t="s">
        <v>29</v>
      </c>
      <c r="B20" s="28">
        <v>68.642700000000005</v>
      </c>
      <c r="C20" s="9">
        <v>59.187100000000001</v>
      </c>
      <c r="D20" s="9">
        <v>68.886499999999998</v>
      </c>
      <c r="E20" s="9">
        <v>59.720700000000001</v>
      </c>
    </row>
    <row r="21" spans="1:5" x14ac:dyDescent="0.25">
      <c r="A21" s="19" t="s">
        <v>30</v>
      </c>
      <c r="B21" s="27">
        <v>68.811199999999999</v>
      </c>
      <c r="C21" s="4">
        <v>60.608600000000003</v>
      </c>
      <c r="D21" s="4">
        <v>69.011799999999994</v>
      </c>
      <c r="E21" s="4">
        <v>60.759</v>
      </c>
    </row>
    <row r="22" spans="1:5" x14ac:dyDescent="0.25">
      <c r="A22" s="19" t="s">
        <v>31</v>
      </c>
      <c r="B22" s="27">
        <v>68.758600000000001</v>
      </c>
      <c r="C22" s="4">
        <v>60.082099999999997</v>
      </c>
      <c r="D22" s="4">
        <v>68.474800000000002</v>
      </c>
      <c r="E22" s="4">
        <v>60.741100000000003</v>
      </c>
    </row>
    <row r="23" spans="1:5" x14ac:dyDescent="0.25">
      <c r="A23" s="19" t="s">
        <v>32</v>
      </c>
      <c r="B23" s="27">
        <v>68.400499999999994</v>
      </c>
      <c r="C23" s="4">
        <v>60.914000000000001</v>
      </c>
      <c r="D23" s="4">
        <v>68.564300000000003</v>
      </c>
      <c r="E23" s="4">
        <v>60.991799999999998</v>
      </c>
    </row>
    <row r="24" spans="1:5" x14ac:dyDescent="0.25">
      <c r="A24" s="19" t="s">
        <v>33</v>
      </c>
      <c r="B24" s="27">
        <v>68.347899999999996</v>
      </c>
      <c r="C24" s="4">
        <v>59.597799999999999</v>
      </c>
      <c r="D24" s="4">
        <v>68.403199999999998</v>
      </c>
      <c r="E24" s="4">
        <v>60.150399999999998</v>
      </c>
    </row>
    <row r="25" spans="1:5" x14ac:dyDescent="0.25">
      <c r="A25" s="19" t="s">
        <v>34</v>
      </c>
      <c r="B25" s="27">
        <v>68.769099999999995</v>
      </c>
      <c r="C25" s="4">
        <v>59.566200000000002</v>
      </c>
      <c r="D25" s="4">
        <v>68.832800000000006</v>
      </c>
      <c r="E25" s="4">
        <v>59.702800000000003</v>
      </c>
    </row>
    <row r="26" spans="1:5" x14ac:dyDescent="0.25">
      <c r="A26" s="19" t="s">
        <v>35</v>
      </c>
      <c r="B26" s="27">
        <v>69.685199999999995</v>
      </c>
      <c r="C26" s="4">
        <v>60.871899999999997</v>
      </c>
      <c r="D26" s="4">
        <v>68.886499999999998</v>
      </c>
      <c r="E26" s="4">
        <v>60.4726</v>
      </c>
    </row>
    <row r="27" spans="1:5" x14ac:dyDescent="0.25">
      <c r="A27" s="19" t="s">
        <v>36</v>
      </c>
      <c r="B27" s="27">
        <v>68.927000000000007</v>
      </c>
      <c r="C27" s="4">
        <v>59.376600000000003</v>
      </c>
      <c r="D27" s="4">
        <v>68.617999999999995</v>
      </c>
      <c r="E27" s="4">
        <v>60.669499999999999</v>
      </c>
    </row>
    <row r="28" spans="1:5" x14ac:dyDescent="0.25">
      <c r="A28" s="19" t="s">
        <v>37</v>
      </c>
      <c r="B28" s="27">
        <v>68.853300000000004</v>
      </c>
      <c r="C28" s="4">
        <v>60.3033</v>
      </c>
      <c r="D28" s="4">
        <v>68.564300000000003</v>
      </c>
      <c r="E28" s="4">
        <v>60.383099999999999</v>
      </c>
    </row>
    <row r="29" spans="1:5" ht="15.75" thickBot="1" x14ac:dyDescent="0.3">
      <c r="A29" s="20" t="s">
        <v>38</v>
      </c>
      <c r="B29" s="32">
        <v>68.537400000000005</v>
      </c>
      <c r="C29" s="11">
        <v>60.334800000000001</v>
      </c>
      <c r="D29" s="11">
        <v>68.761200000000002</v>
      </c>
      <c r="E29" s="11">
        <v>60.562100000000001</v>
      </c>
    </row>
    <row r="30" spans="1:5" ht="15.75" thickTop="1" x14ac:dyDescent="0.25">
      <c r="A30" s="21" t="s">
        <v>21</v>
      </c>
      <c r="B30" s="28">
        <v>68.773290000000003</v>
      </c>
      <c r="C30" s="9">
        <v>60.084240000000001</v>
      </c>
      <c r="D30" s="9">
        <v>68.700339999999997</v>
      </c>
      <c r="E30" s="9">
        <v>60.415309999999998</v>
      </c>
    </row>
    <row r="31" spans="1:5" x14ac:dyDescent="0.25">
      <c r="A31" s="19" t="s">
        <v>28</v>
      </c>
      <c r="B31" s="27">
        <v>0.13954507799999999</v>
      </c>
      <c r="C31" s="4">
        <v>0.38947104300000002</v>
      </c>
      <c r="D31" s="4">
        <v>4.1169125000000001E-2</v>
      </c>
      <c r="E31" s="4">
        <v>0.189712557</v>
      </c>
    </row>
    <row r="32" spans="1:5" x14ac:dyDescent="0.25">
      <c r="A32" s="19" t="s">
        <v>39</v>
      </c>
      <c r="B32" s="27">
        <v>0.37355732000000003</v>
      </c>
      <c r="C32" s="4">
        <v>0.62407610000000002</v>
      </c>
      <c r="D32" s="4">
        <v>0.20290169999999999</v>
      </c>
      <c r="E32" s="4">
        <v>0.43556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14" sqref="C14"/>
    </sheetView>
  </sheetViews>
  <sheetFormatPr defaultRowHeight="15" x14ac:dyDescent="0.25"/>
  <sheetData>
    <row r="1" spans="1:7" x14ac:dyDescent="0.25">
      <c r="A1" s="1"/>
      <c r="B1" t="s">
        <v>16</v>
      </c>
      <c r="C1" t="s">
        <v>17</v>
      </c>
      <c r="D1" t="s">
        <v>18</v>
      </c>
      <c r="E1" t="s">
        <v>19</v>
      </c>
      <c r="G1" t="s">
        <v>20</v>
      </c>
    </row>
    <row r="2" spans="1:7" x14ac:dyDescent="0.25">
      <c r="A2" s="1" t="s">
        <v>16</v>
      </c>
      <c r="B2">
        <v>5897</v>
      </c>
      <c r="C2">
        <v>161</v>
      </c>
      <c r="D2">
        <v>698</v>
      </c>
      <c r="E2">
        <v>227</v>
      </c>
      <c r="F2">
        <f>SUM(B2:E2)</f>
        <v>6983</v>
      </c>
      <c r="G2">
        <v>0.15552055000000001</v>
      </c>
    </row>
    <row r="3" spans="1:7" x14ac:dyDescent="0.25">
      <c r="A3" s="1" t="s">
        <v>17</v>
      </c>
      <c r="B3">
        <v>318</v>
      </c>
      <c r="C3">
        <v>6500</v>
      </c>
      <c r="D3">
        <v>84</v>
      </c>
      <c r="E3">
        <v>81</v>
      </c>
      <c r="F3">
        <f t="shared" ref="F3:F5" si="0">SUM(B3:E3)</f>
        <v>6983</v>
      </c>
      <c r="G3">
        <v>6.9167980000000004E-2</v>
      </c>
    </row>
    <row r="4" spans="1:7" x14ac:dyDescent="0.25">
      <c r="A4" s="1" t="s">
        <v>18</v>
      </c>
      <c r="B4">
        <v>1265</v>
      </c>
      <c r="C4">
        <v>89</v>
      </c>
      <c r="D4">
        <v>4420</v>
      </c>
      <c r="E4">
        <v>1177</v>
      </c>
      <c r="F4">
        <f t="shared" si="0"/>
        <v>6951</v>
      </c>
      <c r="G4">
        <v>0.36412027000000002</v>
      </c>
    </row>
    <row r="5" spans="1:7" x14ac:dyDescent="0.25">
      <c r="A5" s="2" t="s">
        <v>19</v>
      </c>
      <c r="B5">
        <v>638</v>
      </c>
      <c r="C5">
        <v>464</v>
      </c>
      <c r="D5">
        <v>1117</v>
      </c>
      <c r="E5">
        <v>4764</v>
      </c>
      <c r="F5">
        <f t="shared" si="0"/>
        <v>6983</v>
      </c>
      <c r="G5">
        <v>0.31777172999999997</v>
      </c>
    </row>
    <row r="6" spans="1:7" x14ac:dyDescent="0.25">
      <c r="B6">
        <f>SUM(B2:B5)</f>
        <v>8118</v>
      </c>
      <c r="C6">
        <f t="shared" ref="C6:E6" si="1">SUM(C2:C5)</f>
        <v>7214</v>
      </c>
      <c r="D6">
        <f t="shared" si="1"/>
        <v>6319</v>
      </c>
      <c r="E6">
        <f t="shared" si="1"/>
        <v>6249</v>
      </c>
    </row>
    <row r="8" spans="1:7" x14ac:dyDescent="0.25">
      <c r="C8">
        <f>5897/6983</f>
        <v>0.84447945009308323</v>
      </c>
    </row>
    <row r="9" spans="1:7" x14ac:dyDescent="0.25">
      <c r="C9">
        <f>6500/6983</f>
        <v>0.93083202062150938</v>
      </c>
    </row>
    <row r="10" spans="1:7" x14ac:dyDescent="0.25">
      <c r="C10">
        <f>4420/6951</f>
        <v>0.63587972953531868</v>
      </c>
    </row>
    <row r="11" spans="1:7" x14ac:dyDescent="0.25">
      <c r="C11">
        <f>4764/6983</f>
        <v>0.68222826865244168</v>
      </c>
    </row>
    <row r="12" spans="1:7" x14ac:dyDescent="0.25">
      <c r="C12">
        <f>AVERAGE(C8:C11)</f>
        <v>0.77335486722558833</v>
      </c>
    </row>
    <row r="13" spans="1:7" x14ac:dyDescent="0.25">
      <c r="C13">
        <f>1-C12</f>
        <v>0.22664513277441167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 Swainston</dc:creator>
  <cp:lastModifiedBy>Kristi Swainston</cp:lastModifiedBy>
  <dcterms:created xsi:type="dcterms:W3CDTF">2018-04-05T04:11:38Z</dcterms:created>
  <dcterms:modified xsi:type="dcterms:W3CDTF">2018-04-05T15:38:13Z</dcterms:modified>
</cp:coreProperties>
</file>