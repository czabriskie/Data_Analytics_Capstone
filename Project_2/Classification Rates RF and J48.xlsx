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risti\Documents\Data_Analytics_Capstone\Project_2\"/>
    </mc:Choice>
  </mc:AlternateContent>
  <bookViews>
    <workbookView xWindow="0" yWindow="0" windowWidth="6645" windowHeight="4500"/>
  </bookViews>
  <sheets>
    <sheet name="Sheet1" sheetId="1" r:id="rId1"/>
    <sheet name="Sheet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1" l="1"/>
  <c r="F13" i="1"/>
  <c r="H13" i="1"/>
  <c r="I13" i="1"/>
  <c r="J13" i="1" l="1"/>
  <c r="D13" i="1" l="1"/>
  <c r="E13" i="1"/>
  <c r="C13" i="2"/>
  <c r="C11" i="2"/>
  <c r="C10" i="2"/>
  <c r="C9" i="2"/>
  <c r="C12" i="2"/>
  <c r="C8" i="2"/>
  <c r="C6" i="2"/>
  <c r="D6" i="2"/>
  <c r="E6" i="2"/>
  <c r="B6" i="2"/>
  <c r="F3" i="2"/>
  <c r="F4" i="2"/>
  <c r="F5" i="2"/>
  <c r="F2" i="2"/>
  <c r="C13" i="1"/>
  <c r="B13" i="1" l="1"/>
</calcChain>
</file>

<file path=xl/sharedStrings.xml><?xml version="1.0" encoding="utf-8"?>
<sst xmlns="http://schemas.openxmlformats.org/spreadsheetml/2006/main" count="50" uniqueCount="45">
  <si>
    <t>H1B_1</t>
  </si>
  <si>
    <t>Data Set</t>
  </si>
  <si>
    <t>Percent Correctly Classified</t>
  </si>
  <si>
    <t>H1B_2</t>
  </si>
  <si>
    <t>H1B_3</t>
  </si>
  <si>
    <t>H1B_4</t>
  </si>
  <si>
    <t>H1B_5</t>
  </si>
  <si>
    <t>H1B_6</t>
  </si>
  <si>
    <t>H1B_7</t>
  </si>
  <si>
    <t>H1B_8</t>
  </si>
  <si>
    <t>H1B_9</t>
  </si>
  <si>
    <t>H1B_10</t>
  </si>
  <si>
    <t>CERTIFIED</t>
  </si>
  <si>
    <t>CERTIFIEDWITHDRAWN</t>
  </si>
  <si>
    <t>DENIED</t>
  </si>
  <si>
    <t>WITHDRAWN</t>
  </si>
  <si>
    <t>class.error</t>
  </si>
  <si>
    <t>Average</t>
  </si>
  <si>
    <t>GBM - No Wage Conversion</t>
  </si>
  <si>
    <t>Trials</t>
  </si>
  <si>
    <t>C1</t>
  </si>
  <si>
    <t>C2</t>
  </si>
  <si>
    <t>C3</t>
  </si>
  <si>
    <t>C4</t>
  </si>
  <si>
    <t>Variance</t>
  </si>
  <si>
    <t>File 1</t>
  </si>
  <si>
    <t>File 2</t>
  </si>
  <si>
    <t>File 3</t>
  </si>
  <si>
    <t>File 4</t>
  </si>
  <si>
    <t>File 5</t>
  </si>
  <si>
    <t>File 6</t>
  </si>
  <si>
    <t>File 7</t>
  </si>
  <si>
    <t>File 8</t>
  </si>
  <si>
    <t>File 9</t>
  </si>
  <si>
    <t>File 10</t>
  </si>
  <si>
    <t>Std Dev.</t>
  </si>
  <si>
    <t>University of Texas Arlington Results for J48:</t>
  </si>
  <si>
    <t>RF (80/20)</t>
  </si>
  <si>
    <t>RF - wage converted to salary  (80/20)</t>
  </si>
  <si>
    <t>J48 (80/20)</t>
  </si>
  <si>
    <t>J48 - wage converted to salary (80/20)</t>
  </si>
  <si>
    <t>RF (66/34)</t>
  </si>
  <si>
    <t>RF - wage converted to salary  (66/34)</t>
  </si>
  <si>
    <t>J48 (66/34)</t>
  </si>
  <si>
    <t>J48 - wage converted to salary (66/34)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</si>
</sst>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Lucida Console"/>
      <family val="3"/>
    </font>
    <font>
      <b/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0" xfId="0" applyFont="1"/>
    <xf numFmtId="0" fontId="0" fillId="0" borderId="1" xfId="0" applyBorder="1"/>
    <xf numFmtId="10" fontId="0" fillId="0" borderId="1" xfId="1" applyNumberFormat="1" applyFont="1" applyBorder="1"/>
    <xf numFmtId="10" fontId="4" fillId="0" borderId="1" xfId="1" applyNumberFormat="1" applyFont="1" applyBorder="1" applyAlignment="1">
      <alignment vertical="center" wrapText="1"/>
    </xf>
    <xf numFmtId="10" fontId="2" fillId="0" borderId="1" xfId="0" applyNumberFormat="1" applyFont="1" applyBorder="1" applyAlignment="1">
      <alignment vertical="center"/>
    </xf>
    <xf numFmtId="0" fontId="0" fillId="0" borderId="3" xfId="0" applyBorder="1"/>
    <xf numFmtId="10" fontId="0" fillId="0" borderId="3" xfId="0" applyNumberFormat="1" applyBorder="1"/>
    <xf numFmtId="0" fontId="0" fillId="0" borderId="2" xfId="0" applyBorder="1"/>
    <xf numFmtId="10" fontId="0" fillId="0" borderId="2" xfId="1" applyNumberFormat="1" applyFont="1" applyBorder="1"/>
    <xf numFmtId="10" fontId="2" fillId="0" borderId="2" xfId="0" applyNumberFormat="1" applyFont="1" applyBorder="1" applyAlignment="1">
      <alignment vertical="center"/>
    </xf>
    <xf numFmtId="10" fontId="4" fillId="0" borderId="2" xfId="1" applyNumberFormat="1" applyFont="1" applyBorder="1" applyAlignment="1">
      <alignment vertical="center" wrapText="1"/>
    </xf>
    <xf numFmtId="10" fontId="0" fillId="0" borderId="5" xfId="1" applyNumberFormat="1" applyFont="1" applyBorder="1"/>
    <xf numFmtId="10" fontId="0" fillId="0" borderId="6" xfId="1" applyNumberFormat="1" applyFont="1" applyBorder="1"/>
    <xf numFmtId="10" fontId="0" fillId="0" borderId="7" xfId="0" applyNumberFormat="1" applyBorder="1"/>
    <xf numFmtId="0" fontId="3" fillId="0" borderId="4" xfId="0" applyFont="1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10" fontId="0" fillId="0" borderId="7" xfId="1" applyNumberFormat="1" applyFont="1" applyBorder="1"/>
    <xf numFmtId="10" fontId="0" fillId="0" borderId="3" xfId="1" applyNumberFormat="1" applyFont="1" applyBorder="1"/>
    <xf numFmtId="10" fontId="4" fillId="0" borderId="3" xfId="1" applyNumberFormat="1" applyFont="1" applyBorder="1" applyAlignment="1">
      <alignment vertical="center" wrapText="1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3" fillId="0" borderId="12" xfId="0" applyFont="1" applyBorder="1"/>
    <xf numFmtId="0" fontId="3" fillId="0" borderId="13" xfId="0" applyFont="1" applyBorder="1"/>
    <xf numFmtId="0" fontId="3" fillId="0" borderId="11" xfId="0" applyFont="1" applyBorder="1"/>
    <xf numFmtId="0" fontId="0" fillId="0" borderId="6" xfId="0" applyBorder="1"/>
    <xf numFmtId="0" fontId="3" fillId="0" borderId="0" xfId="0" applyFont="1" applyBorder="1"/>
    <xf numFmtId="0" fontId="0" fillId="0" borderId="0" xfId="0" applyBorder="1"/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tabSelected="1" workbookViewId="0">
      <selection activeCell="B6" sqref="B6"/>
    </sheetView>
  </sheetViews>
  <sheetFormatPr defaultRowHeight="15" x14ac:dyDescent="0.25"/>
  <cols>
    <col min="2" max="2" width="9.85546875" bestFit="1" customWidth="1"/>
    <col min="3" max="3" width="34.7109375" bestFit="1" customWidth="1"/>
    <col min="4" max="4" width="12" bestFit="1" customWidth="1"/>
    <col min="5" max="5" width="34.85546875" bestFit="1" customWidth="1"/>
    <col min="6" max="9" width="34.85546875" customWidth="1"/>
    <col min="10" max="10" width="25.7109375" bestFit="1" customWidth="1"/>
  </cols>
  <sheetData>
    <row r="1" spans="1:10" x14ac:dyDescent="0.25">
      <c r="A1" s="18"/>
      <c r="B1" s="34" t="s">
        <v>2</v>
      </c>
      <c r="C1" s="35"/>
      <c r="D1" s="35"/>
      <c r="E1" s="35"/>
      <c r="F1" s="35"/>
      <c r="G1" s="35"/>
      <c r="H1" s="35"/>
      <c r="I1" s="35"/>
      <c r="J1" s="36"/>
    </row>
    <row r="2" spans="1:10" ht="15.75" thickBot="1" x14ac:dyDescent="0.3">
      <c r="A2" s="17" t="s">
        <v>1</v>
      </c>
      <c r="B2" s="24" t="s">
        <v>37</v>
      </c>
      <c r="C2" s="25" t="s">
        <v>38</v>
      </c>
      <c r="D2" s="25" t="s">
        <v>39</v>
      </c>
      <c r="E2" s="25" t="s">
        <v>40</v>
      </c>
      <c r="F2" s="24" t="s">
        <v>41</v>
      </c>
      <c r="G2" s="25" t="s">
        <v>42</v>
      </c>
      <c r="H2" s="25" t="s">
        <v>43</v>
      </c>
      <c r="I2" s="25" t="s">
        <v>44</v>
      </c>
      <c r="J2" s="25" t="s">
        <v>18</v>
      </c>
    </row>
    <row r="3" spans="1:10" x14ac:dyDescent="0.25">
      <c r="A3" s="18" t="s">
        <v>0</v>
      </c>
      <c r="B3" s="21">
        <v>0.77939999999999998</v>
      </c>
      <c r="C3" s="22">
        <v>0.77990000000000004</v>
      </c>
      <c r="D3" s="22">
        <v>0.73850000000000005</v>
      </c>
      <c r="E3" s="22">
        <v>0.77659999999999996</v>
      </c>
      <c r="F3" s="22">
        <v>0.77110000000000001</v>
      </c>
      <c r="G3" s="22">
        <v>0.77359999999999995</v>
      </c>
      <c r="H3" s="22">
        <v>0.72870000000000001</v>
      </c>
      <c r="I3" s="22">
        <v>0.7258</v>
      </c>
      <c r="J3" s="23">
        <v>0.73202780000000001</v>
      </c>
    </row>
    <row r="4" spans="1:10" x14ac:dyDescent="0.25">
      <c r="A4" s="18" t="s">
        <v>3</v>
      </c>
      <c r="B4" s="14">
        <v>0.76859999999999995</v>
      </c>
      <c r="C4" s="5">
        <v>0.77459999999999996</v>
      </c>
      <c r="D4" s="5">
        <v>0.73660000000000003</v>
      </c>
      <c r="E4" s="5">
        <v>0.73673840000000002</v>
      </c>
      <c r="F4" s="5">
        <v>0.77080000000000004</v>
      </c>
      <c r="G4" s="5">
        <v>0.77600000000000002</v>
      </c>
      <c r="H4" s="5">
        <v>0.72140000000000004</v>
      </c>
      <c r="I4" s="5">
        <v>0.72299999999999998</v>
      </c>
      <c r="J4" s="6">
        <v>0.72816119999999995</v>
      </c>
    </row>
    <row r="5" spans="1:10" x14ac:dyDescent="0.25">
      <c r="A5" s="18" t="s">
        <v>4</v>
      </c>
      <c r="B5" s="14">
        <v>0.77293909999999999</v>
      </c>
      <c r="C5" s="5">
        <v>0.77149999999999996</v>
      </c>
      <c r="D5" s="5">
        <v>0.72419999999999995</v>
      </c>
      <c r="E5" s="5">
        <v>0.72670000000000001</v>
      </c>
      <c r="F5" s="5">
        <v>0.7671</v>
      </c>
      <c r="G5" s="5">
        <v>0.76680000000000004</v>
      </c>
      <c r="H5" s="5">
        <v>0.71368330000000002</v>
      </c>
      <c r="I5" s="5">
        <v>0.71789999999999998</v>
      </c>
      <c r="J5" s="6">
        <v>0.72744520000000001</v>
      </c>
    </row>
    <row r="6" spans="1:10" x14ac:dyDescent="0.25">
      <c r="A6" s="18" t="s">
        <v>5</v>
      </c>
      <c r="B6" s="14">
        <v>0.76919999999999999</v>
      </c>
      <c r="C6" s="5">
        <v>0.77059999999999995</v>
      </c>
      <c r="D6" s="5">
        <v>0.74070000000000003</v>
      </c>
      <c r="E6" s="7">
        <v>0.73480000000000001</v>
      </c>
      <c r="F6" s="7">
        <v>0.76470000000000005</v>
      </c>
      <c r="G6" s="7">
        <v>0.76480000000000004</v>
      </c>
      <c r="H6" s="7">
        <v>0.70799999999999996</v>
      </c>
      <c r="I6" s="7">
        <v>0.70830000000000004</v>
      </c>
      <c r="J6" s="6">
        <v>0.72973650000000001</v>
      </c>
    </row>
    <row r="7" spans="1:10" x14ac:dyDescent="0.25">
      <c r="A7" s="18" t="s">
        <v>6</v>
      </c>
      <c r="B7" s="14">
        <v>0.77800000000000002</v>
      </c>
      <c r="C7" s="5">
        <v>0.78459999999999996</v>
      </c>
      <c r="D7" s="7">
        <v>0.73821000000000003</v>
      </c>
      <c r="E7" s="7">
        <v>0.7339</v>
      </c>
      <c r="F7" s="7">
        <v>0.76790000000000003</v>
      </c>
      <c r="G7" s="7">
        <v>0.77080000000000004</v>
      </c>
      <c r="H7" s="7">
        <v>0.71789999999999998</v>
      </c>
      <c r="I7" s="7">
        <v>0.72040000000000004</v>
      </c>
      <c r="J7" s="6">
        <v>0.72866249999999999</v>
      </c>
    </row>
    <row r="8" spans="1:10" x14ac:dyDescent="0.25">
      <c r="A8" s="18" t="s">
        <v>7</v>
      </c>
      <c r="B8" s="14">
        <v>0.77690000000000003</v>
      </c>
      <c r="C8" s="5">
        <v>0.77829999999999999</v>
      </c>
      <c r="D8" s="7">
        <v>0.71430000000000005</v>
      </c>
      <c r="E8" s="7">
        <v>0.7167</v>
      </c>
      <c r="F8" s="7">
        <v>0.76690000000000003</v>
      </c>
      <c r="G8" s="7">
        <v>0.7702</v>
      </c>
      <c r="H8" s="7">
        <v>0.71630000000000005</v>
      </c>
      <c r="I8" s="7">
        <v>0.72050000000000003</v>
      </c>
      <c r="J8" s="6">
        <v>0.72801800000000005</v>
      </c>
    </row>
    <row r="9" spans="1:10" x14ac:dyDescent="0.25">
      <c r="A9" s="18" t="s">
        <v>8</v>
      </c>
      <c r="B9" s="14">
        <v>0.77616490000000005</v>
      </c>
      <c r="C9" s="5">
        <v>0.77710000000000001</v>
      </c>
      <c r="D9" s="7">
        <v>0.7349</v>
      </c>
      <c r="E9" s="7">
        <v>0.73240000000000005</v>
      </c>
      <c r="F9" s="7">
        <v>0.76839550000000001</v>
      </c>
      <c r="G9" s="7">
        <v>0.76649800000000001</v>
      </c>
      <c r="H9" s="7">
        <v>0.70820159999999999</v>
      </c>
      <c r="I9" s="7">
        <v>0.71532600000000002</v>
      </c>
      <c r="J9" s="6">
        <v>0.72962910000000003</v>
      </c>
    </row>
    <row r="10" spans="1:10" x14ac:dyDescent="0.25">
      <c r="A10" s="18" t="s">
        <v>9</v>
      </c>
      <c r="B10" s="14">
        <v>0.76989249999999998</v>
      </c>
      <c r="C10" s="5">
        <v>0.77275990000000006</v>
      </c>
      <c r="D10" s="7">
        <v>0.72473120000000002</v>
      </c>
      <c r="E10" s="7">
        <v>0.72419350000000005</v>
      </c>
      <c r="F10" s="7">
        <v>0.76460050000000002</v>
      </c>
      <c r="G10" s="7">
        <v>0.76871179999999995</v>
      </c>
      <c r="H10" s="7">
        <v>0.71252369999999998</v>
      </c>
      <c r="I10" s="7">
        <v>0.71389420000000003</v>
      </c>
      <c r="J10" s="6">
        <v>0.73055990000000004</v>
      </c>
    </row>
    <row r="11" spans="1:10" x14ac:dyDescent="0.25">
      <c r="A11" s="18" t="s">
        <v>10</v>
      </c>
      <c r="B11" s="14">
        <v>0.7684588</v>
      </c>
      <c r="C11" s="5">
        <v>0.77007170000000003</v>
      </c>
      <c r="D11" s="7">
        <v>0.71899639999999998</v>
      </c>
      <c r="E11" s="7">
        <v>0.71594979999999997</v>
      </c>
      <c r="F11" s="7">
        <v>0.76460050000000002</v>
      </c>
      <c r="G11" s="7">
        <v>0.76301920000000001</v>
      </c>
      <c r="H11" s="7">
        <v>0.70303610000000005</v>
      </c>
      <c r="I11" s="7">
        <v>0.70250900000000005</v>
      </c>
      <c r="J11" s="6">
        <v>0.72812540000000003</v>
      </c>
    </row>
    <row r="12" spans="1:10" ht="15.75" thickBot="1" x14ac:dyDescent="0.3">
      <c r="A12" s="19" t="s">
        <v>11</v>
      </c>
      <c r="B12" s="15">
        <v>0.78315409999999996</v>
      </c>
      <c r="C12" s="11">
        <v>0.78225809999999996</v>
      </c>
      <c r="D12" s="12">
        <v>0.72974910000000004</v>
      </c>
      <c r="E12" s="12">
        <v>0.74569890000000005</v>
      </c>
      <c r="F12" s="12">
        <v>0.77566939999999995</v>
      </c>
      <c r="G12" s="12">
        <v>0.77440439999999999</v>
      </c>
      <c r="H12" s="12">
        <v>0.718638</v>
      </c>
      <c r="I12" s="12">
        <v>0.71779459999999995</v>
      </c>
      <c r="J12" s="13">
        <v>0.7284119</v>
      </c>
    </row>
    <row r="13" spans="1:10" ht="15.75" thickTop="1" x14ac:dyDescent="0.25">
      <c r="A13" s="20" t="s">
        <v>17</v>
      </c>
      <c r="B13" s="16">
        <f>AVERAGE(B3:B12)</f>
        <v>0.77427094000000007</v>
      </c>
      <c r="C13" s="9">
        <f t="shared" ref="C13:E13" si="0">AVERAGE(C3:C12)</f>
        <v>0.77616896999999985</v>
      </c>
      <c r="D13" s="9">
        <f t="shared" si="0"/>
        <v>0.73008867</v>
      </c>
      <c r="E13" s="9">
        <f t="shared" si="0"/>
        <v>0.73436805999999999</v>
      </c>
      <c r="F13" s="9">
        <f>AVERAGE(F3:F12)</f>
        <v>0.76817659000000005</v>
      </c>
      <c r="G13" s="9">
        <f>AVERAGE(G3:G12)</f>
        <v>0.76948334000000007</v>
      </c>
      <c r="H13" s="9">
        <f>AVERAGE(H3:H12)</f>
        <v>0.71483827000000011</v>
      </c>
      <c r="I13" s="9">
        <f>AVERAGE(I3:I12)</f>
        <v>0.71654238000000015</v>
      </c>
      <c r="J13" s="9">
        <f>AVERAGE(J3:J12)</f>
        <v>0.72907775000000008</v>
      </c>
    </row>
    <row r="18" spans="1:9" x14ac:dyDescent="0.25">
      <c r="A18" s="3" t="s">
        <v>36</v>
      </c>
    </row>
    <row r="19" spans="1:9" ht="15.75" thickBot="1" x14ac:dyDescent="0.3">
      <c r="A19" s="28" t="s">
        <v>19</v>
      </c>
      <c r="B19" s="29" t="s">
        <v>20</v>
      </c>
      <c r="C19" s="30" t="s">
        <v>21</v>
      </c>
      <c r="D19" s="30" t="s">
        <v>22</v>
      </c>
      <c r="E19" s="30" t="s">
        <v>23</v>
      </c>
      <c r="F19" s="32"/>
      <c r="G19" s="32"/>
      <c r="H19" s="32"/>
      <c r="I19" s="32"/>
    </row>
    <row r="20" spans="1:9" x14ac:dyDescent="0.25">
      <c r="A20" s="20" t="s">
        <v>25</v>
      </c>
      <c r="B20" s="27">
        <v>68.642700000000005</v>
      </c>
      <c r="C20" s="8">
        <v>59.187100000000001</v>
      </c>
      <c r="D20" s="8">
        <v>68.886499999999998</v>
      </c>
      <c r="E20" s="8">
        <v>59.720700000000001</v>
      </c>
      <c r="F20" s="33"/>
      <c r="G20" s="33"/>
      <c r="H20" s="33"/>
      <c r="I20" s="33"/>
    </row>
    <row r="21" spans="1:9" x14ac:dyDescent="0.25">
      <c r="A21" s="18" t="s">
        <v>26</v>
      </c>
      <c r="B21" s="26">
        <v>68.811199999999999</v>
      </c>
      <c r="C21" s="4">
        <v>60.608600000000003</v>
      </c>
      <c r="D21" s="4">
        <v>69.011799999999994</v>
      </c>
      <c r="E21" s="4">
        <v>60.759</v>
      </c>
      <c r="F21" s="33"/>
      <c r="G21" s="33"/>
      <c r="H21" s="33"/>
      <c r="I21" s="33"/>
    </row>
    <row r="22" spans="1:9" x14ac:dyDescent="0.25">
      <c r="A22" s="18" t="s">
        <v>27</v>
      </c>
      <c r="B22" s="26">
        <v>68.758600000000001</v>
      </c>
      <c r="C22" s="4">
        <v>60.082099999999997</v>
      </c>
      <c r="D22" s="4">
        <v>68.474800000000002</v>
      </c>
      <c r="E22" s="4">
        <v>60.741100000000003</v>
      </c>
      <c r="F22" s="33"/>
      <c r="G22" s="33"/>
      <c r="H22" s="33"/>
      <c r="I22" s="33"/>
    </row>
    <row r="23" spans="1:9" x14ac:dyDescent="0.25">
      <c r="A23" s="18" t="s">
        <v>28</v>
      </c>
      <c r="B23" s="26">
        <v>68.400499999999994</v>
      </c>
      <c r="C23" s="4">
        <v>60.914000000000001</v>
      </c>
      <c r="D23" s="4">
        <v>68.564300000000003</v>
      </c>
      <c r="E23" s="4">
        <v>60.991799999999998</v>
      </c>
      <c r="F23" s="33"/>
      <c r="G23" s="33"/>
      <c r="H23" s="33"/>
      <c r="I23" s="33"/>
    </row>
    <row r="24" spans="1:9" x14ac:dyDescent="0.25">
      <c r="A24" s="18" t="s">
        <v>29</v>
      </c>
      <c r="B24" s="26">
        <v>68.347899999999996</v>
      </c>
      <c r="C24" s="4">
        <v>59.597799999999999</v>
      </c>
      <c r="D24" s="4">
        <v>68.403199999999998</v>
      </c>
      <c r="E24" s="4">
        <v>60.150399999999998</v>
      </c>
      <c r="F24" s="33"/>
      <c r="G24" s="33"/>
      <c r="H24" s="33"/>
      <c r="I24" s="33"/>
    </row>
    <row r="25" spans="1:9" x14ac:dyDescent="0.25">
      <c r="A25" s="18" t="s">
        <v>30</v>
      </c>
      <c r="B25" s="26">
        <v>68.769099999999995</v>
      </c>
      <c r="C25" s="4">
        <v>59.566200000000002</v>
      </c>
      <c r="D25" s="4">
        <v>68.832800000000006</v>
      </c>
      <c r="E25" s="4">
        <v>59.702800000000003</v>
      </c>
      <c r="F25" s="33"/>
      <c r="G25" s="33"/>
      <c r="H25" s="33"/>
      <c r="I25" s="33"/>
    </row>
    <row r="26" spans="1:9" x14ac:dyDescent="0.25">
      <c r="A26" s="18" t="s">
        <v>31</v>
      </c>
      <c r="B26" s="26">
        <v>69.685199999999995</v>
      </c>
      <c r="C26" s="4">
        <v>60.871899999999997</v>
      </c>
      <c r="D26" s="4">
        <v>68.886499999999998</v>
      </c>
      <c r="E26" s="4">
        <v>60.4726</v>
      </c>
      <c r="F26" s="33"/>
      <c r="G26" s="33"/>
      <c r="H26" s="33"/>
      <c r="I26" s="33"/>
    </row>
    <row r="27" spans="1:9" x14ac:dyDescent="0.25">
      <c r="A27" s="18" t="s">
        <v>32</v>
      </c>
      <c r="B27" s="26">
        <v>68.927000000000007</v>
      </c>
      <c r="C27" s="4">
        <v>59.376600000000003</v>
      </c>
      <c r="D27" s="4">
        <v>68.617999999999995</v>
      </c>
      <c r="E27" s="4">
        <v>60.669499999999999</v>
      </c>
      <c r="F27" s="33"/>
      <c r="G27" s="33"/>
      <c r="H27" s="33"/>
      <c r="I27" s="33"/>
    </row>
    <row r="28" spans="1:9" x14ac:dyDescent="0.25">
      <c r="A28" s="18" t="s">
        <v>33</v>
      </c>
      <c r="B28" s="26">
        <v>68.853300000000004</v>
      </c>
      <c r="C28" s="4">
        <v>60.3033</v>
      </c>
      <c r="D28" s="4">
        <v>68.564300000000003</v>
      </c>
      <c r="E28" s="4">
        <v>60.383099999999999</v>
      </c>
      <c r="F28" s="33"/>
      <c r="G28" s="33"/>
      <c r="H28" s="33"/>
      <c r="I28" s="33"/>
    </row>
    <row r="29" spans="1:9" ht="15.75" thickBot="1" x14ac:dyDescent="0.3">
      <c r="A29" s="19" t="s">
        <v>34</v>
      </c>
      <c r="B29" s="31">
        <v>68.537400000000005</v>
      </c>
      <c r="C29" s="10">
        <v>60.334800000000001</v>
      </c>
      <c r="D29" s="10">
        <v>68.761200000000002</v>
      </c>
      <c r="E29" s="10">
        <v>60.562100000000001</v>
      </c>
      <c r="F29" s="33"/>
      <c r="G29" s="33"/>
      <c r="H29" s="33"/>
      <c r="I29" s="33"/>
    </row>
    <row r="30" spans="1:9" ht="15.75" thickTop="1" x14ac:dyDescent="0.25">
      <c r="A30" s="20" t="s">
        <v>17</v>
      </c>
      <c r="B30" s="27">
        <v>68.773290000000003</v>
      </c>
      <c r="C30" s="8">
        <v>60.084240000000001</v>
      </c>
      <c r="D30" s="8">
        <v>68.700339999999997</v>
      </c>
      <c r="E30" s="8">
        <v>60.415309999999998</v>
      </c>
      <c r="F30" s="33"/>
      <c r="G30" s="33"/>
      <c r="H30" s="33"/>
      <c r="I30" s="33"/>
    </row>
    <row r="31" spans="1:9" x14ac:dyDescent="0.25">
      <c r="A31" s="18" t="s">
        <v>24</v>
      </c>
      <c r="B31" s="26">
        <v>0.13954507799999999</v>
      </c>
      <c r="C31" s="4">
        <v>0.38947104300000002</v>
      </c>
      <c r="D31" s="4">
        <v>4.1169125000000001E-2</v>
      </c>
      <c r="E31" s="4">
        <v>0.189712557</v>
      </c>
      <c r="F31" s="33"/>
      <c r="G31" s="33"/>
      <c r="H31" s="33"/>
      <c r="I31" s="33"/>
    </row>
    <row r="32" spans="1:9" x14ac:dyDescent="0.25">
      <c r="A32" s="18" t="s">
        <v>35</v>
      </c>
      <c r="B32" s="26">
        <v>0.37355732000000003</v>
      </c>
      <c r="C32" s="4">
        <v>0.62407610000000002</v>
      </c>
      <c r="D32" s="4">
        <v>0.20290169999999999</v>
      </c>
      <c r="E32" s="4">
        <v>0.43556</v>
      </c>
      <c r="F32" s="33"/>
      <c r="G32" s="33"/>
      <c r="H32" s="33"/>
      <c r="I32" s="33"/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s="1"/>
      <c r="B1" t="s">
        <v>12</v>
      </c>
      <c r="C1" t="s">
        <v>13</v>
      </c>
      <c r="D1" t="s">
        <v>14</v>
      </c>
      <c r="E1" t="s">
        <v>15</v>
      </c>
      <c r="G1" t="s">
        <v>16</v>
      </c>
    </row>
    <row r="2" spans="1:7" x14ac:dyDescent="0.25">
      <c r="A2" s="1" t="s">
        <v>12</v>
      </c>
      <c r="B2">
        <v>5897</v>
      </c>
      <c r="C2">
        <v>161</v>
      </c>
      <c r="D2">
        <v>698</v>
      </c>
      <c r="E2">
        <v>227</v>
      </c>
      <c r="F2">
        <f>SUM(B2:E2)</f>
        <v>6983</v>
      </c>
      <c r="G2">
        <v>0.15552055000000001</v>
      </c>
    </row>
    <row r="3" spans="1:7" x14ac:dyDescent="0.25">
      <c r="A3" s="1" t="s">
        <v>13</v>
      </c>
      <c r="B3">
        <v>318</v>
      </c>
      <c r="C3">
        <v>6500</v>
      </c>
      <c r="D3">
        <v>84</v>
      </c>
      <c r="E3">
        <v>81</v>
      </c>
      <c r="F3">
        <f t="shared" ref="F3:F5" si="0">SUM(B3:E3)</f>
        <v>6983</v>
      </c>
      <c r="G3">
        <v>6.9167980000000004E-2</v>
      </c>
    </row>
    <row r="4" spans="1:7" x14ac:dyDescent="0.25">
      <c r="A4" s="1" t="s">
        <v>14</v>
      </c>
      <c r="B4">
        <v>1265</v>
      </c>
      <c r="C4">
        <v>89</v>
      </c>
      <c r="D4">
        <v>4420</v>
      </c>
      <c r="E4">
        <v>1177</v>
      </c>
      <c r="F4">
        <f t="shared" si="0"/>
        <v>6951</v>
      </c>
      <c r="G4">
        <v>0.36412027000000002</v>
      </c>
    </row>
    <row r="5" spans="1:7" x14ac:dyDescent="0.25">
      <c r="A5" s="2" t="s">
        <v>15</v>
      </c>
      <c r="B5">
        <v>638</v>
      </c>
      <c r="C5">
        <v>464</v>
      </c>
      <c r="D5">
        <v>1117</v>
      </c>
      <c r="E5">
        <v>4764</v>
      </c>
      <c r="F5">
        <f t="shared" si="0"/>
        <v>6983</v>
      </c>
      <c r="G5">
        <v>0.31777172999999997</v>
      </c>
    </row>
    <row r="6" spans="1:7" x14ac:dyDescent="0.25">
      <c r="B6">
        <f>SUM(B2:B5)</f>
        <v>8118</v>
      </c>
      <c r="C6">
        <f t="shared" ref="C6:E6" si="1">SUM(C2:C5)</f>
        <v>7214</v>
      </c>
      <c r="D6">
        <f t="shared" si="1"/>
        <v>6319</v>
      </c>
      <c r="E6">
        <f t="shared" si="1"/>
        <v>6249</v>
      </c>
    </row>
    <row r="8" spans="1:7" x14ac:dyDescent="0.25">
      <c r="C8">
        <f>5897/6983</f>
        <v>0.84447945009308323</v>
      </c>
    </row>
    <row r="9" spans="1:7" x14ac:dyDescent="0.25">
      <c r="C9">
        <f>6500/6983</f>
        <v>0.93083202062150938</v>
      </c>
    </row>
    <row r="10" spans="1:7" x14ac:dyDescent="0.25">
      <c r="C10">
        <f>4420/6951</f>
        <v>0.63587972953531868</v>
      </c>
    </row>
    <row r="11" spans="1:7" x14ac:dyDescent="0.25">
      <c r="C11">
        <f>4764/6983</f>
        <v>0.68222826865244168</v>
      </c>
    </row>
    <row r="12" spans="1:7" x14ac:dyDescent="0.25">
      <c r="C12">
        <f>AVERAGE(C8:C11)</f>
        <v>0.77335486722558833</v>
      </c>
    </row>
    <row r="13" spans="1:7" x14ac:dyDescent="0.25">
      <c r="C13">
        <f>1-C12</f>
        <v>0.22664513277441167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 Swainston</dc:creator>
  <cp:lastModifiedBy>Kristi Swainston</cp:lastModifiedBy>
  <dcterms:created xsi:type="dcterms:W3CDTF">2018-04-05T04:11:38Z</dcterms:created>
  <dcterms:modified xsi:type="dcterms:W3CDTF">2018-04-13T04:37:20Z</dcterms:modified>
</cp:coreProperties>
</file>